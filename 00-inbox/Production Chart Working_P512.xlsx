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62038EB-4750-4166-B58B-783BB18148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 (2)" sheetId="2" r:id="rId1"/>
  </sheets>
  <definedNames>
    <definedName name="_xlnm.Print_Area" localSheetId="0">'Sheet1 (2)'!$B$28:$M$56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2" l="1"/>
  <c r="F31" i="2"/>
  <c r="I40" i="2" l="1"/>
  <c r="M41" i="2"/>
  <c r="M40" i="2"/>
  <c r="G46" i="2" l="1"/>
  <c r="G45" i="2"/>
  <c r="G44" i="2"/>
  <c r="G43" i="2"/>
  <c r="G42" i="2"/>
  <c r="G41" i="2"/>
  <c r="G40" i="2"/>
  <c r="M46" i="2" l="1"/>
  <c r="M45" i="2"/>
  <c r="M44" i="2"/>
  <c r="M43" i="2"/>
  <c r="M42" i="2"/>
  <c r="H40" i="2"/>
  <c r="L52" i="2"/>
  <c r="L48" i="2"/>
  <c r="K48" i="2"/>
  <c r="I46" i="2"/>
  <c r="I45" i="2"/>
  <c r="H45" i="2"/>
  <c r="I44" i="2"/>
  <c r="I43" i="2"/>
  <c r="I42" i="2"/>
  <c r="I41" i="2"/>
  <c r="H41" i="2"/>
  <c r="N23" i="2"/>
  <c r="M18" i="2"/>
  <c r="N17" i="2"/>
  <c r="L17" i="2"/>
  <c r="N16" i="2"/>
  <c r="L16" i="2"/>
  <c r="N15" i="2"/>
  <c r="L15" i="2"/>
  <c r="N14" i="2"/>
  <c r="L14" i="2"/>
  <c r="N13" i="2"/>
  <c r="L13" i="2"/>
  <c r="N12" i="2"/>
  <c r="L12" i="2"/>
  <c r="N11" i="2"/>
  <c r="L11" i="2"/>
  <c r="N10" i="2"/>
  <c r="L10" i="2"/>
  <c r="L18" i="2" l="1"/>
  <c r="M48" i="2"/>
  <c r="L54" i="2" s="1"/>
  <c r="L56" i="2" s="1"/>
  <c r="H42" i="2"/>
  <c r="H46" i="2"/>
  <c r="H43" i="2"/>
  <c r="H44" i="2"/>
</calcChain>
</file>

<file path=xl/sharedStrings.xml><?xml version="1.0" encoding="utf-8"?>
<sst xmlns="http://schemas.openxmlformats.org/spreadsheetml/2006/main" count="97" uniqueCount="47">
  <si>
    <t>Product</t>
  </si>
  <si>
    <t>No. of Strands</t>
  </si>
  <si>
    <t>Weight/m</t>
  </si>
  <si>
    <t>Rolling</t>
  </si>
  <si>
    <t>Speed</t>
  </si>
  <si>
    <t>Length</t>
  </si>
  <si>
    <t>Time</t>
  </si>
  <si>
    <t>Th. Rolling</t>
  </si>
  <si>
    <t>Actual Rolling</t>
  </si>
  <si>
    <t>Annual Production</t>
  </si>
  <si>
    <t>Annual</t>
  </si>
  <si>
    <t>Capacity</t>
  </si>
  <si>
    <t>Billet Req.</t>
  </si>
  <si>
    <t>Prod.Time</t>
  </si>
  <si>
    <t>Type</t>
  </si>
  <si>
    <t>mm</t>
  </si>
  <si>
    <t>kg</t>
  </si>
  <si>
    <t>m/sec</t>
  </si>
  <si>
    <t>m</t>
  </si>
  <si>
    <t>sec</t>
  </si>
  <si>
    <t>T/hr</t>
  </si>
  <si>
    <t>%age</t>
  </si>
  <si>
    <t>TPA</t>
  </si>
  <si>
    <t>Hrs.</t>
  </si>
  <si>
    <t>TMT BARS</t>
  </si>
  <si>
    <t>WIRE ROD</t>
  </si>
  <si>
    <t>Total</t>
  </si>
  <si>
    <t>Finished Production at an average 97% yield</t>
  </si>
  <si>
    <t>:</t>
  </si>
  <si>
    <t>DESIGN PARAMETERS</t>
  </si>
  <si>
    <t>Finished Product Requirement</t>
  </si>
  <si>
    <t>Per Hour Production</t>
  </si>
  <si>
    <t>Billet Requirement</t>
  </si>
  <si>
    <t>Maximim Finishing Speed</t>
  </si>
  <si>
    <t>Billet Size</t>
  </si>
  <si>
    <t>Sq.</t>
  </si>
  <si>
    <t>Average Yield</t>
  </si>
  <si>
    <t>%</t>
  </si>
  <si>
    <t>Billet Length</t>
  </si>
  <si>
    <t>Billet Weight</t>
  </si>
  <si>
    <t>No.of Rolling Hrs available in a year</t>
  </si>
  <si>
    <t>hrs</t>
  </si>
  <si>
    <t>Hours required for production</t>
  </si>
  <si>
    <t>Mill Utilisation</t>
  </si>
  <si>
    <t xml:space="preserve">PRODUCTION TABLE - TMT BAR </t>
  </si>
  <si>
    <t>No. of Strand</t>
  </si>
  <si>
    <t>Finished Production at an average 96%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</si>
</sst>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5.5"/>
      <color theme="1"/>
      <name val="Times New Roman"/>
      <family val="1"/>
    </font>
    <font>
      <b/>
      <sz val="10.5"/>
      <color theme="1"/>
      <name val="Arial"/>
      <family val="2"/>
    </font>
    <font>
      <sz val="12"/>
      <color theme="1"/>
      <name val="Times New Roman"/>
      <family val="1"/>
    </font>
    <font>
      <sz val="5"/>
      <color theme="1"/>
      <name val="Times New Roman"/>
      <family val="1"/>
    </font>
    <font>
      <sz val="10.5"/>
      <color theme="1"/>
      <name val="Arial"/>
      <family val="2"/>
    </font>
    <font>
      <sz val="7.5"/>
      <color theme="1"/>
      <name val="Times New Roman"/>
      <family val="1"/>
    </font>
    <font>
      <sz val="10.5"/>
      <color rgb="FFDD0705"/>
      <name val="Arial"/>
      <family val="2"/>
    </font>
    <font>
      <b/>
      <sz val="11.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.5"/>
      <color rgb="FFFFFFFF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5D9F0"/>
        <bgColor indexed="64"/>
      </patternFill>
    </fill>
    <fill>
      <patternFill patternType="solid">
        <fgColor rgb="FF006FC0"/>
        <bgColor indexed="64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" fontId="7" fillId="0" borderId="1" xfId="0" quotePrefix="1" applyNumberFormat="1" applyFont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5"/>
    </xf>
    <xf numFmtId="3" fontId="5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416E87C5-D305-4141-9CD0-94A0F651A6A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56"/>
  <sheetViews>
    <sheetView tabSelected="1" topLeftCell="A36" zoomScale="130" zoomScaleNormal="130" workbookViewId="0">
      <selection activeCell="P43" sqref="P43"/>
    </sheetView>
  </sheetViews>
  <sheetFormatPr defaultRowHeight="14.4" x14ac:dyDescent="0.3"/>
  <cols>
    <col min="1" max="1" width="3.109375" customWidth="1"/>
    <col min="2" max="2" width="6.5546875" customWidth="1"/>
    <col min="3" max="3" width="5.109375" customWidth="1"/>
    <col min="4" max="4" width="7.6640625" customWidth="1"/>
    <col min="5" max="5" width="8.5546875" bestFit="1" customWidth="1"/>
    <col min="6" max="6" width="10" customWidth="1"/>
    <col min="7" max="8" width="8" bestFit="1" customWidth="1"/>
    <col min="9" max="9" width="9.44140625" bestFit="1" customWidth="1"/>
    <col min="10" max="10" width="8.44140625" bestFit="1" customWidth="1"/>
    <col min="11" max="11" width="8" bestFit="1" customWidth="1"/>
    <col min="12" max="12" width="9.5546875" bestFit="1" customWidth="1"/>
    <col min="13" max="13" width="11" style="20" bestFit="1" customWidth="1"/>
    <col min="14" max="14" width="5.88671875" bestFit="1" customWidth="1"/>
  </cols>
  <sheetData>
    <row r="1" spans="2:14" hidden="1" x14ac:dyDescent="0.3"/>
    <row r="2" spans="2:14" hidden="1" x14ac:dyDescent="0.3"/>
    <row r="3" spans="2:14" hidden="1" x14ac:dyDescent="0.3"/>
    <row r="4" spans="2:14" hidden="1" x14ac:dyDescent="0.3"/>
    <row r="5" spans="2:14" hidden="1" x14ac:dyDescent="0.3"/>
    <row r="6" spans="2:14" hidden="1" x14ac:dyDescent="0.3"/>
    <row r="7" spans="2:14" ht="27.6" hidden="1" x14ac:dyDescent="0.3">
      <c r="B7" s="44"/>
      <c r="C7" s="44"/>
      <c r="D7" s="9"/>
      <c r="E7" s="10"/>
      <c r="F7" s="1" t="s">
        <v>3</v>
      </c>
      <c r="G7" s="1" t="s">
        <v>3</v>
      </c>
      <c r="H7" s="1" t="s">
        <v>3</v>
      </c>
      <c r="I7" s="1" t="s">
        <v>7</v>
      </c>
      <c r="J7" s="1" t="s">
        <v>8</v>
      </c>
      <c r="K7" s="35" t="s">
        <v>9</v>
      </c>
      <c r="L7" s="35"/>
      <c r="M7" s="1" t="s">
        <v>10</v>
      </c>
    </row>
    <row r="8" spans="2:14" ht="41.4" hidden="1" x14ac:dyDescent="0.3">
      <c r="B8" s="35" t="s">
        <v>0</v>
      </c>
      <c r="C8" s="35"/>
      <c r="D8" s="1" t="s">
        <v>1</v>
      </c>
      <c r="E8" s="1" t="s">
        <v>2</v>
      </c>
      <c r="F8" s="1" t="s">
        <v>4</v>
      </c>
      <c r="G8" s="1" t="s">
        <v>5</v>
      </c>
      <c r="H8" s="1" t="s">
        <v>6</v>
      </c>
      <c r="I8" s="1" t="s">
        <v>11</v>
      </c>
      <c r="J8" s="1" t="s">
        <v>11</v>
      </c>
      <c r="K8" s="1" t="s">
        <v>3</v>
      </c>
      <c r="L8" s="1" t="s">
        <v>12</v>
      </c>
      <c r="M8" s="1" t="s">
        <v>13</v>
      </c>
    </row>
    <row r="9" spans="2:14" hidden="1" x14ac:dyDescent="0.3">
      <c r="B9" s="1" t="s">
        <v>14</v>
      </c>
      <c r="C9" s="1" t="s">
        <v>15</v>
      </c>
      <c r="D9" s="11"/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20</v>
      </c>
      <c r="K9" s="1" t="s">
        <v>21</v>
      </c>
      <c r="L9" s="1" t="s">
        <v>22</v>
      </c>
      <c r="M9" s="1" t="s">
        <v>23</v>
      </c>
    </row>
    <row r="10" spans="2:14" hidden="1" x14ac:dyDescent="0.3">
      <c r="B10" s="12"/>
      <c r="C10" s="5">
        <v>8</v>
      </c>
      <c r="D10" s="5">
        <v>1</v>
      </c>
      <c r="E10" s="6">
        <v>0.39500000000000002</v>
      </c>
      <c r="F10" s="5">
        <v>20</v>
      </c>
      <c r="G10" s="6">
        <v>1180</v>
      </c>
      <c r="H10" s="6">
        <v>59</v>
      </c>
      <c r="I10" s="6">
        <v>28.4</v>
      </c>
      <c r="J10" s="6">
        <v>23</v>
      </c>
      <c r="K10" s="5">
        <v>15</v>
      </c>
      <c r="L10" s="13">
        <f>SUM(150000*15%)/0.964</f>
        <v>23340.248962655602</v>
      </c>
      <c r="M10" s="6">
        <v>1015</v>
      </c>
      <c r="N10" s="8">
        <f>468/E10</f>
        <v>1184.8101265822784</v>
      </c>
    </row>
    <row r="11" spans="2:14" ht="27.6" hidden="1" x14ac:dyDescent="0.3">
      <c r="B11" s="6" t="s">
        <v>24</v>
      </c>
      <c r="C11" s="5">
        <v>10</v>
      </c>
      <c r="D11" s="5">
        <v>1</v>
      </c>
      <c r="E11" s="6">
        <v>0.61699999999999999</v>
      </c>
      <c r="F11" s="5">
        <v>15</v>
      </c>
      <c r="G11" s="6">
        <v>755</v>
      </c>
      <c r="H11" s="6">
        <v>50</v>
      </c>
      <c r="I11" s="6">
        <v>33.299999999999997</v>
      </c>
      <c r="J11" s="6">
        <v>26</v>
      </c>
      <c r="K11" s="5">
        <v>15</v>
      </c>
      <c r="L11" s="13">
        <f>SUM(150000*15%)/0.964</f>
        <v>23340.248962655602</v>
      </c>
      <c r="M11" s="6">
        <v>898</v>
      </c>
      <c r="N11" s="8">
        <f>468/E11</f>
        <v>758.50891410048621</v>
      </c>
    </row>
    <row r="12" spans="2:14" hidden="1" x14ac:dyDescent="0.3">
      <c r="B12" s="14"/>
      <c r="C12" s="5">
        <v>12</v>
      </c>
      <c r="D12" s="5">
        <v>1</v>
      </c>
      <c r="E12" s="6">
        <v>0.88800000000000001</v>
      </c>
      <c r="F12" s="5">
        <v>11</v>
      </c>
      <c r="G12" s="6">
        <v>525</v>
      </c>
      <c r="H12" s="6">
        <v>47</v>
      </c>
      <c r="I12" s="6">
        <v>35.1</v>
      </c>
      <c r="J12" s="6">
        <v>30</v>
      </c>
      <c r="K12" s="5">
        <v>15</v>
      </c>
      <c r="L12" s="13">
        <f>SUM(150000*15%)/0.964</f>
        <v>23340.248962655602</v>
      </c>
      <c r="M12" s="6">
        <v>778</v>
      </c>
      <c r="N12" s="8">
        <f>468/E12</f>
        <v>527.02702702702697</v>
      </c>
    </row>
    <row r="13" spans="2:14" hidden="1" x14ac:dyDescent="0.3">
      <c r="B13" s="14"/>
      <c r="C13" s="5">
        <v>16</v>
      </c>
      <c r="D13" s="5">
        <v>1</v>
      </c>
      <c r="E13" s="6">
        <v>1.5780000000000001</v>
      </c>
      <c r="F13" s="5">
        <v>7</v>
      </c>
      <c r="G13" s="6">
        <v>295</v>
      </c>
      <c r="H13" s="6">
        <v>42</v>
      </c>
      <c r="I13" s="6">
        <v>39.799999999999997</v>
      </c>
      <c r="J13" s="6">
        <v>30</v>
      </c>
      <c r="K13" s="5">
        <v>10</v>
      </c>
      <c r="L13" s="13">
        <f>SUM(150000*10%)/0.964</f>
        <v>15560.165975103735</v>
      </c>
      <c r="M13" s="6">
        <v>519</v>
      </c>
      <c r="N13" s="8">
        <f t="shared" ref="N13:N17" si="0">468/E13</f>
        <v>296.57794676806083</v>
      </c>
    </row>
    <row r="14" spans="2:14" hidden="1" x14ac:dyDescent="0.3">
      <c r="B14" s="14"/>
      <c r="C14" s="5">
        <v>20</v>
      </c>
      <c r="D14" s="5">
        <v>1</v>
      </c>
      <c r="E14" s="6">
        <v>2.4660000000000002</v>
      </c>
      <c r="F14" s="5">
        <v>5</v>
      </c>
      <c r="G14" s="6">
        <v>190</v>
      </c>
      <c r="H14" s="6">
        <v>38</v>
      </c>
      <c r="I14" s="6">
        <v>44.4</v>
      </c>
      <c r="J14" s="6">
        <v>30</v>
      </c>
      <c r="K14" s="5">
        <v>5</v>
      </c>
      <c r="L14" s="13">
        <f>SUM(150000*5%)/0.964</f>
        <v>7780.0829875518675</v>
      </c>
      <c r="M14" s="6">
        <v>259</v>
      </c>
      <c r="N14" s="8">
        <f t="shared" si="0"/>
        <v>189.78102189781021</v>
      </c>
    </row>
    <row r="15" spans="2:14" hidden="1" x14ac:dyDescent="0.3">
      <c r="B15" s="14"/>
      <c r="C15" s="5">
        <v>25</v>
      </c>
      <c r="D15" s="5">
        <v>1</v>
      </c>
      <c r="E15" s="6">
        <v>3.8530000000000002</v>
      </c>
      <c r="F15" s="5">
        <v>3.5</v>
      </c>
      <c r="G15" s="6">
        <v>120</v>
      </c>
      <c r="H15" s="6">
        <v>34</v>
      </c>
      <c r="I15" s="6">
        <v>48.5</v>
      </c>
      <c r="J15" s="6">
        <v>30</v>
      </c>
      <c r="K15" s="5">
        <v>5</v>
      </c>
      <c r="L15" s="13">
        <f>SUM(150000*5%)/0.964</f>
        <v>7780.0829875518675</v>
      </c>
      <c r="M15" s="6">
        <v>259</v>
      </c>
      <c r="N15" s="8">
        <f t="shared" si="0"/>
        <v>121.46379444588632</v>
      </c>
    </row>
    <row r="16" spans="2:14" hidden="1" x14ac:dyDescent="0.3">
      <c r="B16" s="14"/>
      <c r="C16" s="5">
        <v>32</v>
      </c>
      <c r="D16" s="5">
        <v>1</v>
      </c>
      <c r="E16" s="6">
        <v>6.3129999999999997</v>
      </c>
      <c r="F16" s="5">
        <v>2.8</v>
      </c>
      <c r="G16" s="6">
        <v>74</v>
      </c>
      <c r="H16" s="6">
        <v>26</v>
      </c>
      <c r="I16" s="6">
        <v>63.6</v>
      </c>
      <c r="J16" s="6">
        <v>30</v>
      </c>
      <c r="K16" s="5">
        <v>5</v>
      </c>
      <c r="L16" s="13">
        <f>SUM(150000*5%)/0.964</f>
        <v>7780.0829875518675</v>
      </c>
      <c r="M16" s="6">
        <v>259</v>
      </c>
      <c r="N16" s="8">
        <f t="shared" si="0"/>
        <v>74.132741961032792</v>
      </c>
    </row>
    <row r="17" spans="2:14" ht="27.6" hidden="1" x14ac:dyDescent="0.3">
      <c r="B17" s="6" t="s">
        <v>25</v>
      </c>
      <c r="C17" s="5">
        <v>5.5</v>
      </c>
      <c r="D17" s="5">
        <v>1</v>
      </c>
      <c r="E17" s="6">
        <v>0.187</v>
      </c>
      <c r="F17" s="5">
        <v>40</v>
      </c>
      <c r="G17" s="6">
        <v>2502</v>
      </c>
      <c r="H17" s="6">
        <v>62</v>
      </c>
      <c r="I17" s="6">
        <v>26.9</v>
      </c>
      <c r="J17" s="6">
        <v>22</v>
      </c>
      <c r="K17" s="5">
        <v>30</v>
      </c>
      <c r="L17" s="13">
        <f>SUM(150000*30%)/0.964</f>
        <v>46680.497925311203</v>
      </c>
      <c r="M17" s="6">
        <v>2122</v>
      </c>
      <c r="N17" s="8">
        <f t="shared" si="0"/>
        <v>2502.6737967914437</v>
      </c>
    </row>
    <row r="18" spans="2:14" ht="15.6" hidden="1" x14ac:dyDescent="0.3">
      <c r="B18" s="15"/>
      <c r="C18" s="15"/>
      <c r="D18" s="15"/>
      <c r="E18" s="15"/>
      <c r="F18" s="15"/>
      <c r="G18" s="15"/>
      <c r="H18" s="15"/>
      <c r="I18" s="15"/>
      <c r="J18" s="16" t="s">
        <v>26</v>
      </c>
      <c r="K18" s="16">
        <v>100</v>
      </c>
      <c r="L18" s="17">
        <f>SUM(L10:L17)</f>
        <v>155601.65975103734</v>
      </c>
      <c r="M18" s="16">
        <f>SUM(M10:M17)</f>
        <v>6109</v>
      </c>
    </row>
    <row r="19" spans="2:14" ht="15.6" hidden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4" ht="15.6" hidden="1" x14ac:dyDescent="0.3">
      <c r="B20" s="2"/>
      <c r="C20" s="2"/>
      <c r="D20" s="2"/>
      <c r="E20" s="2"/>
      <c r="F20" s="2"/>
      <c r="G20" s="45" t="s">
        <v>27</v>
      </c>
      <c r="H20" s="45"/>
      <c r="I20" s="45"/>
      <c r="J20" s="45"/>
      <c r="K20" s="3" t="s">
        <v>28</v>
      </c>
      <c r="L20" s="4">
        <v>150000</v>
      </c>
      <c r="M20" s="19"/>
    </row>
    <row r="21" spans="2:14" hidden="1" x14ac:dyDescent="0.3"/>
    <row r="22" spans="2:14" hidden="1" x14ac:dyDescent="0.3">
      <c r="N22">
        <v>6109</v>
      </c>
    </row>
    <row r="23" spans="2:14" hidden="1" x14ac:dyDescent="0.3">
      <c r="N23" t="e">
        <f>#REF!*N22/#REF!</f>
        <v>#REF!</v>
      </c>
    </row>
    <row r="24" spans="2:14" hidden="1" x14ac:dyDescent="0.3"/>
    <row r="25" spans="2:14" hidden="1" x14ac:dyDescent="0.3"/>
    <row r="26" spans="2:14" hidden="1" x14ac:dyDescent="0.3"/>
    <row r="29" spans="2:14" ht="16.2" x14ac:dyDescent="0.3">
      <c r="B29" s="42" t="s">
        <v>29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2:14" ht="41.25" customHeight="1" x14ac:dyDescent="0.3">
      <c r="B30" s="43" t="s">
        <v>30</v>
      </c>
      <c r="C30" s="43"/>
      <c r="D30" s="43"/>
      <c r="E30" s="43"/>
      <c r="F30" s="21">
        <v>200000</v>
      </c>
      <c r="G30" s="22" t="s">
        <v>22</v>
      </c>
      <c r="H30" s="18"/>
      <c r="I30" s="43" t="s">
        <v>31</v>
      </c>
      <c r="J30" s="43"/>
      <c r="K30" s="6" t="s">
        <v>28</v>
      </c>
      <c r="L30" s="15">
        <v>30</v>
      </c>
      <c r="M30" s="6" t="s">
        <v>20</v>
      </c>
    </row>
    <row r="31" spans="2:14" ht="31.5" customHeight="1" x14ac:dyDescent="0.3">
      <c r="B31" s="43" t="s">
        <v>32</v>
      </c>
      <c r="C31" s="43"/>
      <c r="D31" s="43"/>
      <c r="E31" s="43"/>
      <c r="F31" s="25">
        <f>F30*104%</f>
        <v>208000</v>
      </c>
      <c r="G31" s="22" t="s">
        <v>22</v>
      </c>
      <c r="H31" s="18"/>
      <c r="I31" s="43" t="s">
        <v>33</v>
      </c>
      <c r="J31" s="43"/>
      <c r="K31" s="6" t="s">
        <v>28</v>
      </c>
      <c r="L31" s="15">
        <v>25</v>
      </c>
      <c r="M31" s="6" t="s">
        <v>17</v>
      </c>
    </row>
    <row r="32" spans="2:14" ht="15.6" x14ac:dyDescent="0.3">
      <c r="B32" s="43" t="s">
        <v>34</v>
      </c>
      <c r="C32" s="43"/>
      <c r="D32" s="43"/>
      <c r="E32" s="43"/>
      <c r="F32" s="5">
        <v>130</v>
      </c>
      <c r="G32" s="22" t="s">
        <v>35</v>
      </c>
      <c r="H32" s="18"/>
      <c r="I32" s="43" t="s">
        <v>36</v>
      </c>
      <c r="J32" s="43"/>
      <c r="K32" s="6" t="s">
        <v>28</v>
      </c>
      <c r="L32" s="5">
        <v>96</v>
      </c>
      <c r="M32" s="6" t="s">
        <v>37</v>
      </c>
    </row>
    <row r="33" spans="2:16" ht="15.6" x14ac:dyDescent="0.3">
      <c r="B33" s="43" t="s">
        <v>38</v>
      </c>
      <c r="C33" s="43"/>
      <c r="D33" s="43"/>
      <c r="E33" s="43"/>
      <c r="F33" s="5">
        <v>6</v>
      </c>
      <c r="G33" s="22" t="s">
        <v>18</v>
      </c>
      <c r="H33" s="18"/>
      <c r="I33" s="43"/>
      <c r="J33" s="43"/>
      <c r="K33" s="18"/>
      <c r="L33" s="15"/>
      <c r="M33" s="15"/>
    </row>
    <row r="34" spans="2:16" ht="15.6" x14ac:dyDescent="0.3">
      <c r="B34" s="43" t="s">
        <v>39</v>
      </c>
      <c r="C34" s="43"/>
      <c r="D34" s="43"/>
      <c r="E34" s="43"/>
      <c r="F34" s="5">
        <v>780</v>
      </c>
      <c r="G34" s="22" t="s">
        <v>16</v>
      </c>
      <c r="H34" s="18"/>
      <c r="I34" s="43"/>
      <c r="J34" s="43"/>
      <c r="K34" s="15"/>
      <c r="L34" s="15"/>
      <c r="M34" s="15"/>
    </row>
    <row r="35" spans="2:16" ht="15.6" x14ac:dyDescent="0.3">
      <c r="B35" s="43"/>
      <c r="C35" s="43"/>
      <c r="D35" s="43"/>
      <c r="E35" s="43"/>
      <c r="F35" s="18"/>
      <c r="G35" s="18"/>
      <c r="H35" s="18"/>
      <c r="I35" s="43"/>
      <c r="J35" s="43"/>
      <c r="K35" s="18"/>
      <c r="L35" s="18"/>
      <c r="M35" s="15"/>
    </row>
    <row r="36" spans="2:16" ht="16.5" customHeight="1" x14ac:dyDescent="0.3">
      <c r="B36" s="42" t="s">
        <v>44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2:16" ht="27.6" x14ac:dyDescent="0.3">
      <c r="B37" s="44"/>
      <c r="C37" s="44"/>
      <c r="D37" s="9"/>
      <c r="E37" s="10"/>
      <c r="F37" s="1" t="s">
        <v>3</v>
      </c>
      <c r="G37" s="1" t="s">
        <v>3</v>
      </c>
      <c r="H37" s="1" t="s">
        <v>3</v>
      </c>
      <c r="I37" s="1" t="s">
        <v>7</v>
      </c>
      <c r="J37" s="1" t="s">
        <v>8</v>
      </c>
      <c r="K37" s="35" t="s">
        <v>9</v>
      </c>
      <c r="L37" s="35"/>
      <c r="M37" s="1" t="s">
        <v>10</v>
      </c>
    </row>
    <row r="38" spans="2:16" ht="27.6" x14ac:dyDescent="0.3">
      <c r="B38" s="35" t="s">
        <v>0</v>
      </c>
      <c r="C38" s="35"/>
      <c r="D38" s="1" t="s">
        <v>45</v>
      </c>
      <c r="E38" s="1" t="s">
        <v>2</v>
      </c>
      <c r="F38" s="1" t="s">
        <v>4</v>
      </c>
      <c r="G38" s="1" t="s">
        <v>5</v>
      </c>
      <c r="H38" s="1" t="s">
        <v>6</v>
      </c>
      <c r="I38" s="1" t="s">
        <v>11</v>
      </c>
      <c r="J38" s="28" t="s">
        <v>11</v>
      </c>
      <c r="K38" s="1" t="s">
        <v>3</v>
      </c>
      <c r="L38" s="1" t="s">
        <v>12</v>
      </c>
      <c r="M38" s="1" t="s">
        <v>13</v>
      </c>
    </row>
    <row r="39" spans="2:16" ht="31.5" customHeight="1" x14ac:dyDescent="0.3">
      <c r="B39" s="1" t="s">
        <v>14</v>
      </c>
      <c r="C39" s="1" t="s">
        <v>15</v>
      </c>
      <c r="D39" s="11"/>
      <c r="E39" s="1" t="s">
        <v>16</v>
      </c>
      <c r="F39" s="1" t="s">
        <v>17</v>
      </c>
      <c r="G39" s="1" t="s">
        <v>18</v>
      </c>
      <c r="H39" s="1" t="s">
        <v>19</v>
      </c>
      <c r="I39" s="1" t="s">
        <v>20</v>
      </c>
      <c r="J39" s="1" t="s">
        <v>20</v>
      </c>
      <c r="K39" s="1" t="s">
        <v>21</v>
      </c>
      <c r="L39" s="1" t="s">
        <v>22</v>
      </c>
      <c r="M39" s="1" t="s">
        <v>23</v>
      </c>
    </row>
    <row r="40" spans="2:16" x14ac:dyDescent="0.3">
      <c r="B40" s="36" t="s">
        <v>24</v>
      </c>
      <c r="C40" s="5">
        <v>8</v>
      </c>
      <c r="D40" s="5">
        <v>1</v>
      </c>
      <c r="E40" s="26">
        <v>0.39</v>
      </c>
      <c r="F40" s="5">
        <v>25</v>
      </c>
      <c r="G40" s="6">
        <f t="shared" ref="G40:G46" si="1">780/E40</f>
        <v>2000</v>
      </c>
      <c r="H40" s="13">
        <f>G40/F40</f>
        <v>80</v>
      </c>
      <c r="I40" s="24">
        <f>E40*F40*3600/1000</f>
        <v>35.1</v>
      </c>
      <c r="J40" s="6">
        <v>25</v>
      </c>
      <c r="K40" s="5">
        <v>10</v>
      </c>
      <c r="L40" s="46">
        <f>F31</f>
        <v>208000</v>
      </c>
      <c r="M40" s="29">
        <f>SUM(F30*K40%)/J40</f>
        <v>800</v>
      </c>
      <c r="N40" s="8"/>
      <c r="O40" s="7"/>
      <c r="P40" s="8"/>
    </row>
    <row r="41" spans="2:16" ht="15" customHeight="1" x14ac:dyDescent="0.3">
      <c r="B41" s="37"/>
      <c r="C41" s="5">
        <v>10</v>
      </c>
      <c r="D41" s="5">
        <v>1</v>
      </c>
      <c r="E41" s="6">
        <v>0.61699999999999999</v>
      </c>
      <c r="F41" s="5">
        <v>20</v>
      </c>
      <c r="G41" s="13">
        <f t="shared" si="1"/>
        <v>1264.1815235008105</v>
      </c>
      <c r="H41" s="13">
        <f t="shared" ref="H41:H46" si="2">G41/F41</f>
        <v>63.209076175040522</v>
      </c>
      <c r="I41" s="24">
        <f>E41*F41*3600/1000</f>
        <v>44.423999999999999</v>
      </c>
      <c r="J41" s="6">
        <v>38</v>
      </c>
      <c r="K41" s="5">
        <v>15</v>
      </c>
      <c r="L41" s="39"/>
      <c r="M41" s="29">
        <f>SUM(F30*K41%)/J41</f>
        <v>789.47368421052636</v>
      </c>
      <c r="N41" s="8"/>
      <c r="O41" s="7"/>
      <c r="P41" s="8"/>
    </row>
    <row r="42" spans="2:16" x14ac:dyDescent="0.3">
      <c r="B42" s="37"/>
      <c r="C42" s="5">
        <v>12</v>
      </c>
      <c r="D42" s="5">
        <v>1</v>
      </c>
      <c r="E42" s="6">
        <v>0.88800000000000001</v>
      </c>
      <c r="F42" s="5">
        <v>15</v>
      </c>
      <c r="G42" s="13">
        <f t="shared" si="1"/>
        <v>878.37837837837833</v>
      </c>
      <c r="H42" s="13">
        <f>G42/F42</f>
        <v>58.558558558558552</v>
      </c>
      <c r="I42" s="24">
        <f t="shared" ref="I42:I46" si="3">E42*F42*3600/1000</f>
        <v>47.951999999999998</v>
      </c>
      <c r="J42" s="6">
        <v>32</v>
      </c>
      <c r="K42" s="5">
        <v>20</v>
      </c>
      <c r="L42" s="39"/>
      <c r="M42" s="29">
        <f>SUM(F30*K42%)/J42</f>
        <v>1250</v>
      </c>
      <c r="N42" s="8"/>
      <c r="O42" s="7"/>
      <c r="P42" s="8"/>
    </row>
    <row r="43" spans="2:16" x14ac:dyDescent="0.3">
      <c r="B43" s="37"/>
      <c r="C43" s="5">
        <v>16</v>
      </c>
      <c r="D43" s="5">
        <v>1</v>
      </c>
      <c r="E43" s="6">
        <v>1.5780000000000001</v>
      </c>
      <c r="F43" s="5">
        <v>9</v>
      </c>
      <c r="G43" s="13">
        <f t="shared" si="1"/>
        <v>494.29657794676802</v>
      </c>
      <c r="H43" s="13">
        <f t="shared" si="2"/>
        <v>54.921841994085334</v>
      </c>
      <c r="I43" s="24">
        <f t="shared" si="3"/>
        <v>51.127199999999995</v>
      </c>
      <c r="J43" s="6">
        <v>34</v>
      </c>
      <c r="K43" s="5">
        <v>20</v>
      </c>
      <c r="L43" s="39"/>
      <c r="M43" s="29">
        <f>SUM(F30*K43%)/J43</f>
        <v>1176.4705882352941</v>
      </c>
      <c r="N43" s="8"/>
      <c r="O43" s="7"/>
      <c r="P43" s="8"/>
    </row>
    <row r="44" spans="2:16" x14ac:dyDescent="0.3">
      <c r="B44" s="37"/>
      <c r="C44" s="5">
        <v>20</v>
      </c>
      <c r="D44" s="5">
        <v>1</v>
      </c>
      <c r="E44" s="6">
        <v>2.4660000000000002</v>
      </c>
      <c r="F44" s="5">
        <v>6</v>
      </c>
      <c r="G44" s="13">
        <f t="shared" si="1"/>
        <v>316.30170316301701</v>
      </c>
      <c r="H44" s="13">
        <f t="shared" si="2"/>
        <v>52.716950527169502</v>
      </c>
      <c r="I44" s="24">
        <f t="shared" si="3"/>
        <v>53.265600000000006</v>
      </c>
      <c r="J44" s="6">
        <v>34</v>
      </c>
      <c r="K44" s="5">
        <v>15</v>
      </c>
      <c r="L44" s="39"/>
      <c r="M44" s="29">
        <f>SUM(F30*K44%)/J44</f>
        <v>882.35294117647061</v>
      </c>
      <c r="N44" s="8"/>
      <c r="O44" s="7"/>
      <c r="P44" s="8"/>
    </row>
    <row r="45" spans="2:16" x14ac:dyDescent="0.3">
      <c r="B45" s="37"/>
      <c r="C45" s="5">
        <v>25</v>
      </c>
      <c r="D45" s="5">
        <v>1</v>
      </c>
      <c r="E45" s="6">
        <v>3.8530000000000002</v>
      </c>
      <c r="F45" s="5">
        <v>4</v>
      </c>
      <c r="G45" s="13">
        <f t="shared" si="1"/>
        <v>202.43965740981054</v>
      </c>
      <c r="H45" s="13">
        <f t="shared" si="2"/>
        <v>50.609914352452634</v>
      </c>
      <c r="I45" s="24">
        <f t="shared" si="3"/>
        <v>55.483200000000004</v>
      </c>
      <c r="J45" s="6">
        <v>34</v>
      </c>
      <c r="K45" s="5">
        <v>10</v>
      </c>
      <c r="L45" s="39"/>
      <c r="M45" s="29">
        <f>SUM(F30*K45%)/J45</f>
        <v>588.23529411764707</v>
      </c>
      <c r="N45" s="8"/>
      <c r="O45" s="7"/>
      <c r="P45" s="8"/>
    </row>
    <row r="46" spans="2:16" x14ac:dyDescent="0.3">
      <c r="B46" s="38"/>
      <c r="C46" s="5">
        <v>32</v>
      </c>
      <c r="D46" s="5">
        <v>1</v>
      </c>
      <c r="E46" s="6">
        <v>6.3129999999999997</v>
      </c>
      <c r="F46" s="5">
        <v>2.6</v>
      </c>
      <c r="G46" s="13">
        <f t="shared" si="1"/>
        <v>123.55456993505466</v>
      </c>
      <c r="H46" s="13">
        <f t="shared" si="2"/>
        <v>47.520988436559485</v>
      </c>
      <c r="I46" s="24">
        <f t="shared" si="3"/>
        <v>59.089679999999994</v>
      </c>
      <c r="J46" s="6">
        <v>34</v>
      </c>
      <c r="K46" s="5">
        <v>10</v>
      </c>
      <c r="L46" s="40"/>
      <c r="M46" s="29">
        <f>SUM(F30*K46%)/J46</f>
        <v>588.23529411764707</v>
      </c>
      <c r="N46" s="8"/>
      <c r="O46" s="7"/>
      <c r="P46" s="8"/>
    </row>
    <row r="47" spans="2:16" x14ac:dyDescent="0.3">
      <c r="B47" s="6"/>
      <c r="C47" s="5"/>
      <c r="D47" s="5"/>
      <c r="E47" s="6"/>
      <c r="F47" s="5"/>
      <c r="G47" s="6"/>
      <c r="H47" s="6"/>
      <c r="I47" s="6"/>
      <c r="J47" s="6"/>
      <c r="K47" s="5"/>
      <c r="L47" s="13"/>
      <c r="M47" s="6"/>
      <c r="N47" s="8"/>
    </row>
    <row r="48" spans="2:16" ht="15.6" x14ac:dyDescent="0.3">
      <c r="B48" s="15"/>
      <c r="C48" s="15"/>
      <c r="D48" s="15"/>
      <c r="E48" s="15"/>
      <c r="F48" s="15"/>
      <c r="G48" s="15"/>
      <c r="H48" s="15"/>
      <c r="I48" s="15"/>
      <c r="J48" s="16" t="s">
        <v>26</v>
      </c>
      <c r="K48" s="16">
        <f>SUM(K40:K47)</f>
        <v>100</v>
      </c>
      <c r="L48" s="17">
        <f>SUM(L40:L47)</f>
        <v>208000</v>
      </c>
      <c r="M48" s="17">
        <f>SUM(M40:M47)</f>
        <v>6074.7678018575843</v>
      </c>
      <c r="N48" s="8"/>
    </row>
    <row r="49" spans="2:19" ht="15.6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2:19" ht="15.6" x14ac:dyDescent="0.3">
      <c r="B50" s="41" t="s">
        <v>46</v>
      </c>
      <c r="C50" s="41"/>
      <c r="D50" s="41"/>
      <c r="E50" s="41"/>
      <c r="F50" s="41"/>
      <c r="G50" s="41"/>
      <c r="H50" s="41"/>
      <c r="I50" s="41"/>
      <c r="J50" s="41"/>
      <c r="K50" s="3" t="s">
        <v>28</v>
      </c>
      <c r="L50" s="4">
        <v>225000</v>
      </c>
      <c r="M50" s="19"/>
    </row>
    <row r="51" spans="2:19" ht="16.2" x14ac:dyDescent="0.3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2:19" ht="15.6" x14ac:dyDescent="0.3">
      <c r="B52" s="31" t="s">
        <v>40</v>
      </c>
      <c r="C52" s="31"/>
      <c r="D52" s="31"/>
      <c r="E52" s="31"/>
      <c r="F52" s="31"/>
      <c r="G52" s="31"/>
      <c r="H52" s="31"/>
      <c r="I52" s="31"/>
      <c r="J52" s="31"/>
      <c r="K52" s="16" t="s">
        <v>28</v>
      </c>
      <c r="L52" s="5">
        <f>330*24</f>
        <v>7920</v>
      </c>
      <c r="M52" s="6" t="s">
        <v>41</v>
      </c>
      <c r="S52" s="7"/>
    </row>
    <row r="53" spans="2:19" ht="15.6" x14ac:dyDescent="0.3">
      <c r="B53" s="31"/>
      <c r="C53" s="31"/>
      <c r="D53" s="31"/>
      <c r="E53" s="31"/>
      <c r="F53" s="31"/>
      <c r="G53" s="31"/>
      <c r="H53" s="31"/>
      <c r="I53" s="31"/>
      <c r="J53" s="31"/>
      <c r="K53" s="18"/>
      <c r="L53" s="15"/>
      <c r="M53" s="15"/>
    </row>
    <row r="54" spans="2:19" ht="15.6" x14ac:dyDescent="0.3">
      <c r="B54" s="31" t="s">
        <v>42</v>
      </c>
      <c r="C54" s="31"/>
      <c r="D54" s="31"/>
      <c r="E54" s="31"/>
      <c r="F54" s="31"/>
      <c r="G54" s="31"/>
      <c r="H54" s="31"/>
      <c r="I54" s="31"/>
      <c r="J54" s="31"/>
      <c r="K54" s="16" t="s">
        <v>28</v>
      </c>
      <c r="L54" s="30">
        <f>M48</f>
        <v>6074.7678018575843</v>
      </c>
      <c r="M54" s="6" t="s">
        <v>41</v>
      </c>
    </row>
    <row r="55" spans="2:19" ht="15.6" x14ac:dyDescent="0.3">
      <c r="B55" s="32"/>
      <c r="C55" s="33"/>
      <c r="D55" s="33"/>
      <c r="E55" s="33"/>
      <c r="F55" s="33"/>
      <c r="G55" s="33"/>
      <c r="H55" s="33"/>
      <c r="I55" s="33"/>
      <c r="J55" s="33"/>
      <c r="K55" s="18"/>
      <c r="L55" s="15"/>
      <c r="M55" s="15"/>
    </row>
    <row r="56" spans="2:19" ht="15.6" x14ac:dyDescent="0.3">
      <c r="B56" s="31" t="s">
        <v>43</v>
      </c>
      <c r="C56" s="34"/>
      <c r="D56" s="34"/>
      <c r="E56" s="34"/>
      <c r="F56" s="34"/>
      <c r="G56" s="34"/>
      <c r="H56" s="34"/>
      <c r="I56" s="34"/>
      <c r="J56" s="34"/>
      <c r="K56" s="23" t="s">
        <v>28</v>
      </c>
      <c r="L56" s="27">
        <f>L54*100/L52</f>
        <v>76.701613659817994</v>
      </c>
      <c r="M56" s="23" t="s">
        <v>37</v>
      </c>
    </row>
  </sheetData>
  <mergeCells count="30">
    <mergeCell ref="B30:E30"/>
    <mergeCell ref="I30:J30"/>
    <mergeCell ref="B7:C7"/>
    <mergeCell ref="K7:L7"/>
    <mergeCell ref="B8:C8"/>
    <mergeCell ref="G20:J20"/>
    <mergeCell ref="B29:M29"/>
    <mergeCell ref="B31:E31"/>
    <mergeCell ref="I31:J31"/>
    <mergeCell ref="B32:E32"/>
    <mergeCell ref="I32:J32"/>
    <mergeCell ref="B33:E33"/>
    <mergeCell ref="I33:J33"/>
    <mergeCell ref="L40:L46"/>
    <mergeCell ref="B50:J50"/>
    <mergeCell ref="B51:M51"/>
    <mergeCell ref="B52:J52"/>
    <mergeCell ref="B34:E34"/>
    <mergeCell ref="I34:J34"/>
    <mergeCell ref="B35:E35"/>
    <mergeCell ref="I35:J35"/>
    <mergeCell ref="B36:M36"/>
    <mergeCell ref="B37:C37"/>
    <mergeCell ref="K37:L37"/>
    <mergeCell ref="B53:J53"/>
    <mergeCell ref="B54:J54"/>
    <mergeCell ref="B55:J55"/>
    <mergeCell ref="B56:J56"/>
    <mergeCell ref="B38:C38"/>
    <mergeCell ref="B40:B46"/>
  </mergeCells>
  <pageMargins left="0.26" right="0.03" top="0.05" bottom="0.11" header="0.04" footer="0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2026-02-19T09:04:17Z</dcterms:modified>
</cp:coreProperties>
</file>